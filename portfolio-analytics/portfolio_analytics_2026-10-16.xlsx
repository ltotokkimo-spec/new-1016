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比較" sheetId="1" state="visible" r:id="rId1"/>
    <sheet xmlns:r="http://schemas.openxmlformats.org/officeDocument/2006/relationships" name="個股指標" sheetId="2" state="visible" r:id="rId2"/>
    <sheet xmlns:r="http://schemas.openxmlformats.org/officeDocument/2006/relationships" name="相關係數" sheetId="3" state="visible" r:id="rId3"/>
    <sheet xmlns:r="http://schemas.openxmlformats.org/officeDocument/2006/relationships" name="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股票</t>
        </is>
      </c>
      <c r="B1" s="1" t="inlineStr">
        <is>
          <t>等權重 權重</t>
        </is>
      </c>
      <c r="C1" s="1" t="inlineStr">
        <is>
          <t>最小變異 權重</t>
        </is>
      </c>
      <c r="D1" s="1" t="inlineStr">
        <is>
          <t>最大Sharpe 權重</t>
        </is>
      </c>
      <c r="E1" s="1" t="inlineStr">
        <is>
          <t>風險平價 權重</t>
        </is>
      </c>
      <c r="F1" s="1" t="inlineStr">
        <is>
          <t>等權重 風險貢獻</t>
        </is>
      </c>
      <c r="G1" s="1" t="inlineStr">
        <is>
          <t>最小變異 風險貢獻</t>
        </is>
      </c>
      <c r="H1" s="1" t="inlineStr">
        <is>
          <t>最大Sharpe 風險貢獻</t>
        </is>
      </c>
      <c r="I1" s="1" t="inlineStr">
        <is>
          <t>風險平價 風險貢獻</t>
        </is>
      </c>
    </row>
    <row r="2">
      <c r="A2" t="inlineStr">
        <is>
          <t>2330 台積電</t>
        </is>
      </c>
      <c r="B2" s="2" t="n">
        <v>0.1</v>
      </c>
      <c r="C2" s="2" t="n">
        <v>0.3</v>
      </c>
      <c r="D2" s="2" t="n">
        <v>4.135395148524803e-15</v>
      </c>
      <c r="E2" s="2" t="n">
        <v>0.06834904731294433</v>
      </c>
      <c r="F2" s="2" t="n">
        <v>0.07226908048997616</v>
      </c>
      <c r="G2" s="2" t="n">
        <v>0.4040368492391866</v>
      </c>
      <c r="H2" s="2" t="n">
        <v>4.130607625128023e-15</v>
      </c>
      <c r="I2" s="2" t="n">
        <v>0.1000000129102659</v>
      </c>
    </row>
    <row r="3">
      <c r="A3" t="inlineStr">
        <is>
          <t>2317 鴻海</t>
        </is>
      </c>
      <c r="B3" s="2" t="n">
        <v>0.1</v>
      </c>
      <c r="C3" s="2" t="n">
        <v>5.235543424784548e-18</v>
      </c>
      <c r="D3" s="2" t="n">
        <v>0</v>
      </c>
      <c r="E3" s="2" t="n">
        <v>0.04546734136966599</v>
      </c>
      <c r="F3" s="2" t="n">
        <v>0.1034013638992628</v>
      </c>
      <c r="G3" s="2" t="n">
        <v>9.169985409640692e-18</v>
      </c>
      <c r="H3" s="2" t="n">
        <v>0</v>
      </c>
      <c r="I3" s="2" t="n">
        <v>0.09999999282418753</v>
      </c>
    </row>
    <row r="4">
      <c r="A4" t="inlineStr">
        <is>
          <t>2454 聯發科</t>
        </is>
      </c>
      <c r="B4" s="2" t="n">
        <v>0.1</v>
      </c>
      <c r="C4" s="2" t="n">
        <v>2.886383910280816e-17</v>
      </c>
      <c r="D4" s="2" t="n">
        <v>0</v>
      </c>
      <c r="E4" s="2" t="n">
        <v>0.02424829097688374</v>
      </c>
      <c r="F4" s="2" t="n">
        <v>0.2303092047893312</v>
      </c>
      <c r="G4" s="2" t="n">
        <v>8.116971934759787e-17</v>
      </c>
      <c r="H4" s="2" t="n">
        <v>0</v>
      </c>
      <c r="I4" s="2" t="n">
        <v>0.09999997940689531</v>
      </c>
    </row>
    <row r="5">
      <c r="A5" t="inlineStr">
        <is>
          <t>2382 廣達</t>
        </is>
      </c>
      <c r="B5" s="2" t="n">
        <v>0.1</v>
      </c>
      <c r="C5" s="2" t="n">
        <v>1.047587893034658e-17</v>
      </c>
      <c r="D5" s="2" t="n">
        <v>0</v>
      </c>
      <c r="E5" s="2" t="n">
        <v>0.04993155835203646</v>
      </c>
      <c r="F5" s="2" t="n">
        <v>0.09041810777904077</v>
      </c>
      <c r="G5" s="2" t="n">
        <v>1.575564100663843e-17</v>
      </c>
      <c r="H5" s="2" t="n">
        <v>0</v>
      </c>
      <c r="I5" s="2" t="n">
        <v>0.09999999913735767</v>
      </c>
    </row>
    <row r="6">
      <c r="A6" t="inlineStr">
        <is>
          <t>2308 台達電</t>
        </is>
      </c>
      <c r="B6" s="2" t="n">
        <v>0.1</v>
      </c>
      <c r="C6" s="2" t="n">
        <v>1.033547025171107e-17</v>
      </c>
      <c r="D6" s="2" t="n">
        <v>0</v>
      </c>
      <c r="E6" s="2" t="n">
        <v>0.03578919262335298</v>
      </c>
      <c r="F6" s="2" t="n">
        <v>0.1664112201960021</v>
      </c>
      <c r="G6" s="2" t="n">
        <v>1.681869904837431e-17</v>
      </c>
      <c r="H6" s="2" t="n">
        <v>0</v>
      </c>
      <c r="I6" s="2" t="n">
        <v>0.09999998593514563</v>
      </c>
    </row>
    <row r="7">
      <c r="A7" t="inlineStr">
        <is>
          <t>2881 富邦金</t>
        </is>
      </c>
      <c r="B7" s="2" t="n">
        <v>0.1</v>
      </c>
      <c r="C7" s="2" t="n">
        <v>0.1264509001932462</v>
      </c>
      <c r="D7" s="2" t="n">
        <v>0.1085470992222679</v>
      </c>
      <c r="E7" s="2" t="n">
        <v>0.07389220212525438</v>
      </c>
      <c r="F7" s="2" t="n">
        <v>0.04344044017825967</v>
      </c>
      <c r="G7" s="2" t="n">
        <v>0.1792497905131536</v>
      </c>
      <c r="H7" s="2" t="n">
        <v>0.1011735924520243</v>
      </c>
      <c r="I7" s="2" t="n">
        <v>0.1000000016579022</v>
      </c>
    </row>
    <row r="8">
      <c r="A8" t="inlineStr">
        <is>
          <t>2891 中信金</t>
        </is>
      </c>
      <c r="B8" s="2" t="n">
        <v>0.1</v>
      </c>
      <c r="C8" s="2" t="n">
        <v>0.246223686657176</v>
      </c>
      <c r="D8" s="2" t="n">
        <v>0.2879120668820118</v>
      </c>
      <c r="E8" s="2" t="n">
        <v>0.09072433911476677</v>
      </c>
      <c r="F8" s="2" t="n">
        <v>0.03289182163202597</v>
      </c>
      <c r="G8" s="2" t="n">
        <v>0.349032629890453</v>
      </c>
      <c r="H8" s="2" t="n">
        <v>0.2613919365590648</v>
      </c>
      <c r="I8" s="2" t="n">
        <v>0.1000000065056322</v>
      </c>
    </row>
    <row r="9">
      <c r="A9" t="inlineStr">
        <is>
          <t>2412 中華電</t>
        </is>
      </c>
      <c r="B9" s="2" t="n">
        <v>0.1</v>
      </c>
      <c r="C9" s="2" t="n">
        <v>0.3000000000000001</v>
      </c>
      <c r="D9" s="2" t="n">
        <v>0.3000000000000031</v>
      </c>
      <c r="E9" s="2" t="n">
        <v>0.5295618512199758</v>
      </c>
      <c r="F9" s="2" t="n">
        <v>-0.008575097895295963</v>
      </c>
      <c r="G9" s="2" t="n">
        <v>0.02894576428945033</v>
      </c>
      <c r="H9" s="2" t="n">
        <v>-0.007985109195632865</v>
      </c>
      <c r="I9" s="2" t="n">
        <v>0.1000000341321346</v>
      </c>
    </row>
    <row r="10">
      <c r="A10" t="inlineStr">
        <is>
          <t>2303 聯電</t>
        </is>
      </c>
      <c r="B10" s="2" t="n">
        <v>0.1</v>
      </c>
      <c r="C10" s="2" t="n">
        <v>0.003408691974499935</v>
      </c>
      <c r="D10" s="2" t="n">
        <v>0.05127484483043267</v>
      </c>
      <c r="E10" s="2" t="n">
        <v>0.03514059317321906</v>
      </c>
      <c r="F10" s="2" t="n">
        <v>0.141340272691595</v>
      </c>
      <c r="G10" s="2" t="n">
        <v>0.004831967299312725</v>
      </c>
      <c r="H10" s="2" t="n">
        <v>0.1110037711702401</v>
      </c>
      <c r="I10" s="2" t="n">
        <v>0.09999998926745206</v>
      </c>
    </row>
    <row r="11">
      <c r="A11" t="inlineStr">
        <is>
          <t>3711 日月光投控</t>
        </is>
      </c>
      <c r="B11" s="2" t="n">
        <v>0.1</v>
      </c>
      <c r="C11" s="2" t="n">
        <v>0.02391672117507777</v>
      </c>
      <c r="D11" s="2" t="n">
        <v>0.2522659890652803</v>
      </c>
      <c r="E11" s="2" t="n">
        <v>0.04689558373190049</v>
      </c>
      <c r="F11" s="2" t="n">
        <v>0.1280935862398023</v>
      </c>
      <c r="G11" s="2" t="n">
        <v>0.03390299876844367</v>
      </c>
      <c r="H11" s="2" t="n">
        <v>0.5344158090142996</v>
      </c>
      <c r="I11" s="2" t="n">
        <v>0.09999999822302687</v>
      </c>
    </row>
    <row r="13">
      <c r="A13" s="1" t="inlineStr">
        <is>
          <t>指標</t>
        </is>
      </c>
      <c r="B13" s="1" t="inlineStr">
        <is>
          <t>等權重</t>
        </is>
      </c>
      <c r="C13" s="1" t="inlineStr">
        <is>
          <t>最小變異</t>
        </is>
      </c>
      <c r="D13" s="1" t="inlineStr">
        <is>
          <t>最大Sharpe</t>
        </is>
      </c>
      <c r="E13" s="1" t="inlineStr">
        <is>
          <t>風險平價</t>
        </is>
      </c>
      <c r="F13" s="1" t="inlineStr">
        <is>
          <t>0050 基準</t>
        </is>
      </c>
      <c r="G13" s="1" t="n"/>
      <c r="H13" s="1" t="n"/>
      <c r="I13" s="1" t="n"/>
    </row>
    <row r="14">
      <c r="A14" t="inlineStr">
        <is>
          <t>年化報酬</t>
        </is>
      </c>
      <c r="B14" s="2" t="n">
        <v>1.049576233328288</v>
      </c>
      <c r="C14" s="2" t="n">
        <v>0.6858465408947023</v>
      </c>
      <c r="D14" s="2" t="n">
        <v>1.044375729748977</v>
      </c>
      <c r="E14" s="2" t="n">
        <v>0.5615349462064456</v>
      </c>
      <c r="F14" s="2" t="n">
        <v>0.865175835633279</v>
      </c>
    </row>
    <row r="15">
      <c r="A15" t="inlineStr">
        <is>
          <t>年化波動</t>
        </is>
      </c>
      <c r="B15" s="2" t="n">
        <v>0.2741510695415161</v>
      </c>
      <c r="C15" s="2" t="n">
        <v>0.135632173529906</v>
      </c>
      <c r="D15" s="2" t="n">
        <v>0.1648722126048342</v>
      </c>
      <c r="E15" s="2" t="n">
        <v>0.1193931805317836</v>
      </c>
      <c r="F15" s="2" t="n">
        <v>0.2530097796647565</v>
      </c>
    </row>
    <row r="16">
      <c r="A16" t="inlineStr">
        <is>
          <t>Sharpe</t>
        </is>
      </c>
      <c r="B16" s="3" t="n">
        <v>3.766449771854419</v>
      </c>
      <c r="C16" s="3" t="n">
        <v>4.931326568671599</v>
      </c>
      <c r="D16" s="3" t="n">
        <v>6.231345558583555</v>
      </c>
      <c r="E16" s="3" t="n">
        <v>4.560854680150557</v>
      </c>
      <c r="F16" s="3" t="n">
        <v>3.35234407443511</v>
      </c>
    </row>
    <row r="17">
      <c r="A17" t="inlineStr">
        <is>
          <t>Sortino</t>
        </is>
      </c>
      <c r="B17" s="3" t="n">
        <v>8.379699539210304</v>
      </c>
      <c r="C17" s="3" t="n">
        <v>11.23075691784066</v>
      </c>
      <c r="D17" s="3" t="n">
        <v>12.94459467718785</v>
      </c>
      <c r="E17" s="3" t="n">
        <v>12.29102744571346</v>
      </c>
      <c r="F17" s="3" t="n">
        <v>6.96523276198723</v>
      </c>
    </row>
    <row r="18">
      <c r="A18" t="inlineStr">
        <is>
          <t>最大回撤</t>
        </is>
      </c>
      <c r="B18" s="2" t="n">
        <v>-0.09606554868670647</v>
      </c>
      <c r="C18" s="2" t="n">
        <v>-0.04938050972107788</v>
      </c>
      <c r="D18" s="2" t="n">
        <v>-0.06100509672808629</v>
      </c>
      <c r="E18" s="2" t="n">
        <v>-0.04008030094992387</v>
      </c>
      <c r="F18" s="2" t="n">
        <v>-0.08876766674931802</v>
      </c>
    </row>
    <row r="19">
      <c r="A19" t="inlineStr">
        <is>
          <t>Calmar</t>
        </is>
      </c>
      <c r="B19" s="3" t="n">
        <v>10.92562575946156</v>
      </c>
      <c r="C19" s="3" t="n">
        <v>13.889012988498</v>
      </c>
      <c r="D19" s="3" t="n">
        <v>17.11948321963982</v>
      </c>
      <c r="E19" s="3" t="n">
        <v>14.01024775008612</v>
      </c>
      <c r="F19" s="3" t="n">
        <v>9.746519958405079</v>
      </c>
    </row>
    <row r="20">
      <c r="A20" t="inlineStr">
        <is>
          <t>Beta(0050)</t>
        </is>
      </c>
      <c r="B20" s="3" t="n">
        <v>0.9951605524498512</v>
      </c>
      <c r="C20" s="3" t="n">
        <v>0.3781888915611337</v>
      </c>
      <c r="D20" s="3" t="n">
        <v>0.4822471341047584</v>
      </c>
      <c r="E20" s="3" t="n">
        <v>0.3614723239962288</v>
      </c>
      <c r="F20" s="3" t="n">
        <v>0.9999999999999997</v>
      </c>
    </row>
    <row r="21">
      <c r="A21" t="inlineStr">
        <is>
          <t>週VaR95%</t>
        </is>
      </c>
      <c r="B21" s="2" t="n">
        <v>0.03393595090906457</v>
      </c>
      <c r="C21" s="2" t="n">
        <v>0.0167592813549424</v>
      </c>
      <c r="D21" s="2" t="n">
        <v>0.0166716494507109</v>
      </c>
      <c r="E21" s="2" t="n">
        <v>0.01588219481713605</v>
      </c>
      <c r="F21" s="2" t="n">
        <v>0.04733001384445877</v>
      </c>
    </row>
    <row r="22">
      <c r="A22" t="inlineStr">
        <is>
          <t>週CVaR95%</t>
        </is>
      </c>
      <c r="B22" s="2" t="n">
        <v>0.05121248837292729</v>
      </c>
      <c r="C22" s="2" t="n">
        <v>0.0287430315242888</v>
      </c>
      <c r="D22" s="2" t="n">
        <v>0.03785827686358719</v>
      </c>
      <c r="E22" s="2" t="n">
        <v>0.01876170945332132</v>
      </c>
      <c r="F22" s="2" t="n">
        <v>0.05271408946000866</v>
      </c>
    </row>
    <row r="23">
      <c r="A23" t="inlineStr">
        <is>
          <t>HHI</t>
        </is>
      </c>
      <c r="B23" s="3" t="n">
        <v>0.1</v>
      </c>
      <c r="C23" s="3" t="n">
        <v>0.257199562763477</v>
      </c>
      <c r="D23" s="3" t="n">
        <v>0.2509430699573119</v>
      </c>
      <c r="E23" s="3" t="n">
        <v>0.3086616524155866</v>
      </c>
      <c r="F23" s="3" t="inlineStr"/>
    </row>
    <row r="24">
      <c r="A24" t="inlineStr">
        <is>
          <t>有效檔數</t>
        </is>
      </c>
      <c r="B24" s="3" t="n">
        <v>9.999999999999996</v>
      </c>
      <c r="C24" s="3" t="n">
        <v>3.888031492960231</v>
      </c>
      <c r="D24" s="3" t="n">
        <v>3.984967587150786</v>
      </c>
      <c r="E24" s="3" t="n">
        <v>3.239793450770442</v>
      </c>
      <c r="F24" s="3" t="inlineStr"/>
    </row>
    <row r="25">
      <c r="A25" t="inlineStr">
        <is>
          <t>分散比率</t>
        </is>
      </c>
      <c r="B25" s="3" t="n">
        <v>1.49472210918476</v>
      </c>
      <c r="C25" s="3" t="n">
        <v>1.640661920236239</v>
      </c>
      <c r="D25" s="3" t="n">
        <v>1.743557733713754</v>
      </c>
      <c r="E25" s="3" t="n">
        <v>1.969846521117414</v>
      </c>
      <c r="F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股票</t>
        </is>
      </c>
      <c r="B1" s="1" t="inlineStr">
        <is>
          <t>年化報酬</t>
        </is>
      </c>
      <c r="C1" s="1" t="inlineStr">
        <is>
          <t>年化波動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最大回撤</t>
        </is>
      </c>
      <c r="G1" s="1" t="inlineStr">
        <is>
          <t>Calmar</t>
        </is>
      </c>
      <c r="H1" s="1" t="inlineStr">
        <is>
          <t>Beta(0050)</t>
        </is>
      </c>
      <c r="I1" s="1" t="inlineStr">
        <is>
          <t>週VaR95%</t>
        </is>
      </c>
      <c r="J1" s="1" t="inlineStr">
        <is>
          <t>週CVaR95%</t>
        </is>
      </c>
    </row>
    <row r="2">
      <c r="A2" t="inlineStr">
        <is>
          <t>2330 台積電</t>
        </is>
      </c>
      <c r="B2" s="2" t="n">
        <v>0.7518473753288903</v>
      </c>
      <c r="C2" s="2" t="n">
        <v>0.255254507824889</v>
      </c>
      <c r="D2" s="3" t="n">
        <v>2.87888108848998</v>
      </c>
      <c r="E2" s="3" t="n">
        <v>5.98578952182243</v>
      </c>
      <c r="F2" s="2" t="n">
        <v>-0.08976569888285946</v>
      </c>
      <c r="G2" s="3" t="n">
        <v>8.375664476361068</v>
      </c>
      <c r="H2" s="3" t="n">
        <v>0.9282147923812371</v>
      </c>
      <c r="I2" s="2" t="n">
        <v>0.04496203062251818</v>
      </c>
      <c r="J2" s="2" t="n">
        <v>0.05178990013188841</v>
      </c>
    </row>
    <row r="3">
      <c r="A3" t="inlineStr">
        <is>
          <t>2317 鴻海</t>
        </is>
      </c>
      <c r="B3" s="2" t="n">
        <v>0.03231933688858613</v>
      </c>
      <c r="C3" s="2" t="n">
        <v>0.3502458533533128</v>
      </c>
      <c r="D3" s="3" t="n">
        <v>0.04373881015839649</v>
      </c>
      <c r="E3" s="3" t="n">
        <v>0.07359761067723757</v>
      </c>
      <c r="F3" s="2" t="n">
        <v>-0.2090402633578119</v>
      </c>
      <c r="G3" s="3" t="n">
        <v>0.1546081906396447</v>
      </c>
      <c r="H3" s="3" t="n">
        <v>1.050016024430969</v>
      </c>
      <c r="I3" s="2" t="n">
        <v>0.07164071548825297</v>
      </c>
      <c r="J3" s="2" t="n">
        <v>0.08037536842515942</v>
      </c>
    </row>
    <row r="4">
      <c r="A4" t="inlineStr">
        <is>
          <t>2454 聯發科</t>
        </is>
      </c>
      <c r="B4" s="2" t="n">
        <v>2.835825337675592</v>
      </c>
      <c r="C4" s="2" t="n">
        <v>0.7684314566833752</v>
      </c>
      <c r="D4" s="3" t="n">
        <v>3.66828467673866</v>
      </c>
      <c r="E4" s="3" t="n">
        <v>8.408996972246712</v>
      </c>
      <c r="F4" s="2" t="n">
        <v>-0.2467829361138697</v>
      </c>
      <c r="G4" s="3" t="n">
        <v>11.49117269747976</v>
      </c>
      <c r="H4" s="3" t="n">
        <v>2.206145795059606</v>
      </c>
      <c r="I4" s="2" t="n">
        <v>0.1011700550537823</v>
      </c>
      <c r="J4" s="2" t="n">
        <v>0.119834110978881</v>
      </c>
    </row>
    <row r="5">
      <c r="A5" t="inlineStr">
        <is>
          <t>2382 廣達</t>
        </is>
      </c>
      <c r="B5" s="2" t="n">
        <v>0.1852389708694195</v>
      </c>
      <c r="C5" s="2" t="n">
        <v>0.3749495298038232</v>
      </c>
      <c r="D5" s="3" t="n">
        <v>0.448697644606845</v>
      </c>
      <c r="E5" s="3" t="n">
        <v>0.7308117958160596</v>
      </c>
      <c r="F5" s="2" t="n">
        <v>-0.2216496221729727</v>
      </c>
      <c r="G5" s="3" t="n">
        <v>0.8357287914745972</v>
      </c>
      <c r="H5" s="3" t="n">
        <v>0.8086348530648698</v>
      </c>
      <c r="I5" s="2" t="n">
        <v>0.08562045167470275</v>
      </c>
      <c r="J5" s="2" t="n">
        <v>0.1013082145084015</v>
      </c>
    </row>
    <row r="6">
      <c r="A6" t="inlineStr">
        <is>
          <t>2308 台達電</t>
        </is>
      </c>
      <c r="B6" s="2" t="n">
        <v>0.78043805994979</v>
      </c>
      <c r="C6" s="2" t="n">
        <v>0.6070526556989039</v>
      </c>
      <c r="D6" s="3" t="n">
        <v>1.257614232938061</v>
      </c>
      <c r="E6" s="3" t="n">
        <v>2.124063524155075</v>
      </c>
      <c r="F6" s="2" t="n">
        <v>-0.3339582613843802</v>
      </c>
      <c r="G6" s="3" t="n">
        <v>2.33693293501585</v>
      </c>
      <c r="H6" s="3" t="n">
        <v>1.886625449166083</v>
      </c>
      <c r="I6" s="2" t="n">
        <v>0.1059052648951972</v>
      </c>
      <c r="J6" s="2" t="n">
        <v>0.1461357444349062</v>
      </c>
    </row>
    <row r="7">
      <c r="A7" t="inlineStr">
        <is>
          <t>2881 富邦金</t>
        </is>
      </c>
      <c r="B7" s="2" t="n">
        <v>0.9417064117822127</v>
      </c>
      <c r="C7" s="2" t="n">
        <v>0.2947986381734844</v>
      </c>
      <c r="D7" s="3" t="n">
        <v>3.13673908913391</v>
      </c>
      <c r="E7" s="3" t="n">
        <v>7.613274459152651</v>
      </c>
      <c r="F7" s="2" t="n">
        <v>-0.09967059823610669</v>
      </c>
      <c r="G7" s="3" t="n">
        <v>9.44818661117527</v>
      </c>
      <c r="H7" s="3" t="n">
        <v>0.3387469662453493</v>
      </c>
      <c r="I7" s="2" t="n">
        <v>0.04220176106392532</v>
      </c>
      <c r="J7" s="2" t="n">
        <v>0.05765478319345815</v>
      </c>
    </row>
    <row r="8">
      <c r="A8" t="inlineStr">
        <is>
          <t>2891 中信金</t>
        </is>
      </c>
      <c r="B8" s="2" t="n">
        <v>0.9151574607078403</v>
      </c>
      <c r="C8" s="2" t="n">
        <v>0.2645998411412649</v>
      </c>
      <c r="D8" s="3" t="n">
        <v>3.394399092735399</v>
      </c>
      <c r="E8" s="3" t="n">
        <v>6.746327187610341</v>
      </c>
      <c r="F8" s="2" t="n">
        <v>-0.1041546451240621</v>
      </c>
      <c r="G8" s="3" t="n">
        <v>8.786525647682494</v>
      </c>
      <c r="H8" s="3" t="n">
        <v>0.2291373103041396</v>
      </c>
      <c r="I8" s="2" t="n">
        <v>0.02618642211404166</v>
      </c>
      <c r="J8" s="2" t="n">
        <v>0.06245238637101317</v>
      </c>
    </row>
    <row r="9">
      <c r="A9" t="inlineStr">
        <is>
          <t>2412 中華電</t>
        </is>
      </c>
      <c r="B9" s="2" t="n">
        <v>0.2177505384286216</v>
      </c>
      <c r="C9" s="2" t="n">
        <v>0.1009708441045213</v>
      </c>
      <c r="D9" s="3" t="n">
        <v>1.988203032360629</v>
      </c>
      <c r="E9" s="3" t="n">
        <v>4.382507960187429</v>
      </c>
      <c r="F9" s="2" t="n">
        <v>-0.04362776703202231</v>
      </c>
      <c r="G9" s="3" t="n">
        <v>4.991099779844222</v>
      </c>
      <c r="H9" s="3" t="n">
        <v>-0.1242083510251905</v>
      </c>
      <c r="I9" s="2" t="n">
        <v>0.01465813474552536</v>
      </c>
      <c r="J9" s="2" t="n">
        <v>0.01647488525237921</v>
      </c>
    </row>
    <row r="10">
      <c r="A10" t="inlineStr">
        <is>
          <t>2303 聯電</t>
        </is>
      </c>
      <c r="B10" s="2" t="n">
        <v>2.295132628518669</v>
      </c>
      <c r="C10" s="2" t="n">
        <v>0.6161069390717157</v>
      </c>
      <c r="D10" s="3" t="n">
        <v>3.697625337495983</v>
      </c>
      <c r="E10" s="3" t="n">
        <v>8.375233998691456</v>
      </c>
      <c r="F10" s="2" t="n">
        <v>-0.3079997613792281</v>
      </c>
      <c r="G10" s="3" t="n">
        <v>7.451735086550154</v>
      </c>
      <c r="H10" s="3" t="n">
        <v>1.225231153307969</v>
      </c>
      <c r="I10" s="2" t="n">
        <v>0.08881173345629774</v>
      </c>
      <c r="J10" s="2" t="n">
        <v>0.09979061717319178</v>
      </c>
    </row>
    <row r="11">
      <c r="A11" t="inlineStr">
        <is>
          <t>3711 日月光投控</t>
        </is>
      </c>
      <c r="B11" s="2" t="n">
        <v>2.244174948932521</v>
      </c>
      <c r="C11" s="2" t="n">
        <v>0.4653863831482389</v>
      </c>
      <c r="D11" s="3" t="n">
        <v>4.785647001242626</v>
      </c>
      <c r="E11" s="3" t="n">
        <v>8.743703144511905</v>
      </c>
      <c r="F11" s="2" t="n">
        <v>-0.1862170087976539</v>
      </c>
      <c r="G11" s="3" t="n">
        <v>12.05139618245653</v>
      </c>
      <c r="H11" s="3" t="n">
        <v>1.403061531563479</v>
      </c>
      <c r="I11" s="2" t="n">
        <v>0.09407097814222133</v>
      </c>
      <c r="J11" s="2" t="n">
        <v>0.1033866173296106</v>
      </c>
    </row>
    <row r="12">
      <c r="A12" t="inlineStr">
        <is>
          <t>0050 元大台灣50</t>
        </is>
      </c>
      <c r="B12" s="2" t="n">
        <v>0.865175835633279</v>
      </c>
      <c r="C12" s="2" t="n">
        <v>0.2530097796647565</v>
      </c>
      <c r="D12" s="3" t="n">
        <v>3.35234407443511</v>
      </c>
      <c r="E12" s="3" t="n">
        <v>6.96523276198723</v>
      </c>
      <c r="F12" s="2" t="n">
        <v>-0.08876766674931802</v>
      </c>
      <c r="G12" s="3" t="n">
        <v>9.746519958405079</v>
      </c>
      <c r="H12" s="3" t="n">
        <v>0.9999999999999997</v>
      </c>
      <c r="I12" s="2" t="n">
        <v>0.04733001384445877</v>
      </c>
      <c r="J12" s="2" t="n">
        <v>0.05271408946000866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/>
      <c r="B1" s="1" t="inlineStr">
        <is>
          <t>2330 台積電</t>
        </is>
      </c>
      <c r="C1" s="1" t="inlineStr">
        <is>
          <t>2317 鴻海</t>
        </is>
      </c>
      <c r="D1" s="1" t="inlineStr">
        <is>
          <t>2454 聯發科</t>
        </is>
      </c>
      <c r="E1" s="1" t="inlineStr">
        <is>
          <t>2382 廣達</t>
        </is>
      </c>
      <c r="F1" s="1" t="inlineStr">
        <is>
          <t>2308 台達電</t>
        </is>
      </c>
      <c r="G1" s="1" t="inlineStr">
        <is>
          <t>2881 富邦金</t>
        </is>
      </c>
      <c r="H1" s="1" t="inlineStr">
        <is>
          <t>2891 中信金</t>
        </is>
      </c>
      <c r="I1" s="1" t="inlineStr">
        <is>
          <t>2412 中華電</t>
        </is>
      </c>
      <c r="J1" s="1" t="inlineStr">
        <is>
          <t>2303 聯電</t>
        </is>
      </c>
      <c r="K1" s="1" t="inlineStr">
        <is>
          <t>3711 日月光投控</t>
        </is>
      </c>
    </row>
    <row r="2">
      <c r="A2" t="inlineStr">
        <is>
          <t>2330 台積電</t>
        </is>
      </c>
      <c r="B2" s="3" t="n">
        <v>1</v>
      </c>
      <c r="C2" s="3" t="n">
        <v>0.6449933506271022</v>
      </c>
      <c r="D2" s="3" t="n">
        <v>0.5576724315707765</v>
      </c>
      <c r="E2" s="3" t="n">
        <v>0.4949039774996585</v>
      </c>
      <c r="F2" s="3" t="n">
        <v>0.6476499742847536</v>
      </c>
      <c r="G2" s="3" t="n">
        <v>0.2025861020617472</v>
      </c>
      <c r="H2" s="3" t="n">
        <v>0.1681006822831983</v>
      </c>
      <c r="I2" s="3" t="n">
        <v>-0.2164322788141771</v>
      </c>
      <c r="J2" s="3" t="n">
        <v>0.3788936558741494</v>
      </c>
      <c r="K2" s="3" t="n">
        <v>0.6956273775634654</v>
      </c>
    </row>
    <row r="3">
      <c r="A3" t="inlineStr">
        <is>
          <t>2317 鴻海</t>
        </is>
      </c>
      <c r="B3" s="3" t="n">
        <v>0.6449933506271021</v>
      </c>
      <c r="C3" s="3" t="n">
        <v>1</v>
      </c>
      <c r="D3" s="3" t="n">
        <v>0.6688819770821649</v>
      </c>
      <c r="E3" s="3" t="n">
        <v>0.4736856349450361</v>
      </c>
      <c r="F3" s="3" t="n">
        <v>0.5151373844950441</v>
      </c>
      <c r="G3" s="3" t="n">
        <v>0.4860294553867076</v>
      </c>
      <c r="H3" s="3" t="n">
        <v>0.3518802639970239</v>
      </c>
      <c r="I3" s="3" t="n">
        <v>-0.167642350497803</v>
      </c>
      <c r="J3" s="3" t="n">
        <v>0.3836664974886579</v>
      </c>
      <c r="K3" s="3" t="n">
        <v>0.5239490335613535</v>
      </c>
    </row>
    <row r="4">
      <c r="A4" t="inlineStr">
        <is>
          <t>2454 聯發科</t>
        </is>
      </c>
      <c r="B4" s="3" t="n">
        <v>0.5576724315707765</v>
      </c>
      <c r="C4" s="3" t="n">
        <v>0.6688819770821649</v>
      </c>
      <c r="D4" s="3" t="n">
        <v>1</v>
      </c>
      <c r="E4" s="3" t="n">
        <v>0.4965583405708114</v>
      </c>
      <c r="F4" s="3" t="n">
        <v>0.5415921650950464</v>
      </c>
      <c r="G4" s="3" t="n">
        <v>0.216397196780405</v>
      </c>
      <c r="H4" s="3" t="n">
        <v>0.2774560830031471</v>
      </c>
      <c r="I4" s="3" t="n">
        <v>-0.2805037034415709</v>
      </c>
      <c r="J4" s="3" t="n">
        <v>0.3638462361221548</v>
      </c>
      <c r="K4" s="3" t="n">
        <v>0.5576957613081939</v>
      </c>
    </row>
    <row r="5">
      <c r="A5" t="inlineStr">
        <is>
          <t>2382 廣達</t>
        </is>
      </c>
      <c r="B5" s="3" t="n">
        <v>0.4949039774996585</v>
      </c>
      <c r="C5" s="3" t="n">
        <v>0.4736856349450361</v>
      </c>
      <c r="D5" s="3" t="n">
        <v>0.4965583405708114</v>
      </c>
      <c r="E5" s="3" t="n">
        <v>1</v>
      </c>
      <c r="F5" s="3" t="n">
        <v>0.4964734959162995</v>
      </c>
      <c r="G5" s="3" t="n">
        <v>0.2924836988813883</v>
      </c>
      <c r="H5" s="3" t="n">
        <v>0.3692380382933397</v>
      </c>
      <c r="I5" s="3" t="n">
        <v>-0.1162090746502112</v>
      </c>
      <c r="J5" s="3" t="n">
        <v>0.1966966704985975</v>
      </c>
      <c r="K5" s="3" t="n">
        <v>0.3629663476545986</v>
      </c>
    </row>
    <row r="6">
      <c r="A6" t="inlineStr">
        <is>
          <t>2308 台達電</t>
        </is>
      </c>
      <c r="B6" s="3" t="n">
        <v>0.6476499742847535</v>
      </c>
      <c r="C6" s="3" t="n">
        <v>0.515137384495044</v>
      </c>
      <c r="D6" s="3" t="n">
        <v>0.5415921650950464</v>
      </c>
      <c r="E6" s="3" t="n">
        <v>0.4964734959162995</v>
      </c>
      <c r="F6" s="3" t="n">
        <v>0.9999999999999999</v>
      </c>
      <c r="G6" s="3" t="n">
        <v>0.01416579421215337</v>
      </c>
      <c r="H6" s="3" t="n">
        <v>0.02267292531026252</v>
      </c>
      <c r="I6" s="3" t="n">
        <v>-0.3350088460798665</v>
      </c>
      <c r="J6" s="3" t="n">
        <v>0.3789096784433018</v>
      </c>
      <c r="K6" s="3" t="n">
        <v>0.6347562180473679</v>
      </c>
    </row>
    <row r="7">
      <c r="A7" t="inlineStr">
        <is>
          <t>2881 富邦金</t>
        </is>
      </c>
      <c r="B7" s="3" t="n">
        <v>0.2025861020617471</v>
      </c>
      <c r="C7" s="3" t="n">
        <v>0.4860294553867075</v>
      </c>
      <c r="D7" s="3" t="n">
        <v>0.216397196780405</v>
      </c>
      <c r="E7" s="3" t="n">
        <v>0.2924836988813883</v>
      </c>
      <c r="F7" s="3" t="n">
        <v>0.01416579421215337</v>
      </c>
      <c r="G7" s="3" t="n">
        <v>1</v>
      </c>
      <c r="H7" s="3" t="n">
        <v>0.4904070291716055</v>
      </c>
      <c r="I7" s="3" t="n">
        <v>0.08567323941067019</v>
      </c>
      <c r="J7" s="3" t="n">
        <v>0.2288780540003638</v>
      </c>
      <c r="K7" s="3" t="n">
        <v>0.05757610729779678</v>
      </c>
    </row>
    <row r="8">
      <c r="A8" t="inlineStr">
        <is>
          <t>2891 中信金</t>
        </is>
      </c>
      <c r="B8" s="3" t="n">
        <v>0.1681006822831983</v>
      </c>
      <c r="C8" s="3" t="n">
        <v>0.351880263997024</v>
      </c>
      <c r="D8" s="3" t="n">
        <v>0.2774560830031471</v>
      </c>
      <c r="E8" s="3" t="n">
        <v>0.3692380382933397</v>
      </c>
      <c r="F8" s="3" t="n">
        <v>0.02267292531026252</v>
      </c>
      <c r="G8" s="3" t="n">
        <v>0.4904070291716054</v>
      </c>
      <c r="H8" s="3" t="n">
        <v>0.9999999999999998</v>
      </c>
      <c r="I8" s="3" t="n">
        <v>0.07650124428000331</v>
      </c>
      <c r="J8" s="3" t="n">
        <v>-0.021439868555049</v>
      </c>
      <c r="K8" s="3" t="n">
        <v>-0.002088784185413302</v>
      </c>
    </row>
    <row r="9">
      <c r="A9" t="inlineStr">
        <is>
          <t>2412 中華電</t>
        </is>
      </c>
      <c r="B9" s="3" t="n">
        <v>-0.2164322788141771</v>
      </c>
      <c r="C9" s="3" t="n">
        <v>-0.167642350497803</v>
      </c>
      <c r="D9" s="3" t="n">
        <v>-0.280503703441571</v>
      </c>
      <c r="E9" s="3" t="n">
        <v>-0.1162090746502112</v>
      </c>
      <c r="F9" s="3" t="n">
        <v>-0.3350088460798665</v>
      </c>
      <c r="G9" s="3" t="n">
        <v>0.08567323941067018</v>
      </c>
      <c r="H9" s="3" t="n">
        <v>0.07650124428000331</v>
      </c>
      <c r="I9" s="3" t="n">
        <v>1</v>
      </c>
      <c r="J9" s="3" t="n">
        <v>-0.05269103956995801</v>
      </c>
      <c r="K9" s="3" t="n">
        <v>-0.3778658113752349</v>
      </c>
    </row>
    <row r="10">
      <c r="A10" t="inlineStr">
        <is>
          <t>2303 聯電</t>
        </is>
      </c>
      <c r="B10" s="3" t="n">
        <v>0.3788936558741494</v>
      </c>
      <c r="C10" s="3" t="n">
        <v>0.3836664974886579</v>
      </c>
      <c r="D10" s="3" t="n">
        <v>0.3638462361221548</v>
      </c>
      <c r="E10" s="3" t="n">
        <v>0.1966966704985975</v>
      </c>
      <c r="F10" s="3" t="n">
        <v>0.3789096784433018</v>
      </c>
      <c r="G10" s="3" t="n">
        <v>0.2288780540003638</v>
      </c>
      <c r="H10" s="3" t="n">
        <v>-0.02143986855504901</v>
      </c>
      <c r="I10" s="3" t="n">
        <v>-0.05269103956995801</v>
      </c>
      <c r="J10" s="3" t="n">
        <v>1</v>
      </c>
      <c r="K10" s="3" t="n">
        <v>0.5096181326375222</v>
      </c>
    </row>
    <row r="11">
      <c r="A11" t="inlineStr">
        <is>
          <t>3711 日月光投控</t>
        </is>
      </c>
      <c r="B11" s="3" t="n">
        <v>0.6956273775634655</v>
      </c>
      <c r="C11" s="3" t="n">
        <v>0.5239490335613535</v>
      </c>
      <c r="D11" s="3" t="n">
        <v>0.5576957613081939</v>
      </c>
      <c r="E11" s="3" t="n">
        <v>0.3629663476545986</v>
      </c>
      <c r="F11" s="3" t="n">
        <v>0.6347562180473679</v>
      </c>
      <c r="G11" s="3" t="n">
        <v>0.05757610729779678</v>
      </c>
      <c r="H11" s="3" t="n">
        <v>-0.002088784185413302</v>
      </c>
      <c r="I11" s="3" t="n">
        <v>-0.3778658113752349</v>
      </c>
      <c r="J11" s="3" t="n">
        <v>0.5096181326375222</v>
      </c>
      <c r="K11" s="3" t="n">
        <v>1</v>
      </c>
    </row>
    <row r="13">
      <c r="A13" t="inlineStr">
        <is>
          <t>相關分群（ρ ≥ 0.5 視為同群）</t>
        </is>
      </c>
    </row>
    <row r="14">
      <c r="A14" t="inlineStr">
        <is>
          <t>2330 台積電、2317 鴻海、2454 聯發科、2308 台達電、2303 聯電、3711 日月光投控</t>
        </is>
      </c>
    </row>
    <row r="15">
      <c r="A15" t="inlineStr">
        <is>
          <t>2382 廣達</t>
        </is>
      </c>
    </row>
    <row r="16">
      <c r="A16" t="inlineStr">
        <is>
          <t>2881 富邦金</t>
        </is>
      </c>
    </row>
    <row r="17">
      <c r="A17" t="inlineStr">
        <is>
          <t>2891 中信金</t>
        </is>
      </c>
    </row>
    <row r="18">
      <c r="A18" t="inlineStr">
        <is>
          <t>2412 中華電</t>
        </is>
      </c>
    </row>
  </sheetData>
  <conditionalFormatting sqref="B2:K11">
    <cfRule type="colorScale" priority="1">
      <colorScale>
        <cfvo type="num" val="-0.2"/>
        <cfvo type="num" val="0.3"/>
        <cfvo type="num" val="1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t="inlineStr">
        <is>
          <t>期間</t>
        </is>
      </c>
      <c r="B1" t="inlineStr">
        <is>
          <t>2025-11-07 ~ 2026-10-16，48 個週報酬</t>
        </is>
      </c>
    </row>
    <row r="2">
      <c r="A2" t="inlineStr">
        <is>
          <t>資料</t>
        </is>
      </c>
      <c r="B2" t="inlineStr">
        <is>
          <t>證交所還原權息日K，取每週最後交易日收盤（含息報酬）</t>
        </is>
      </c>
    </row>
    <row r="3">
      <c r="A3" t="inlineStr">
        <is>
          <t>年化</t>
        </is>
      </c>
      <c r="B3" t="inlineStr">
        <is>
          <t>報酬為幾何年化，波動以週標準差 × √52</t>
        </is>
      </c>
    </row>
    <row r="4">
      <c r="A4" t="inlineStr">
        <is>
          <t>無風險利率</t>
        </is>
      </c>
      <c r="B4" t="inlineStr">
        <is>
          <t>1.7%</t>
        </is>
      </c>
    </row>
    <row r="5">
      <c r="A5" t="inlineStr">
        <is>
          <t>最佳化</t>
        </is>
      </c>
      <c r="B5" t="inlineStr">
        <is>
          <t>SLSQP、只做多、單檔上限 30%、權重和 = 100%；每週再平衡</t>
        </is>
      </c>
    </row>
    <row r="6">
      <c r="A6" t="inlineStr">
        <is>
          <t>VaR/CVaR</t>
        </is>
      </c>
      <c r="B6" t="inlineStr">
        <is>
          <t>歷史模擬法，95% 信賴水準，單位為週報酬</t>
        </is>
      </c>
    </row>
    <row r="7">
      <c r="A7" t="inlineStr">
        <is>
          <t>限制</t>
        </is>
      </c>
      <c r="B7" t="inlineStr">
        <is>
          <t>樣本只有 49 週，且涵蓋 AI 大多頭；歷史平均報酬對未來的預測力很弱，最大 Sharpe 權重對輸入非常敏感，請勿直接當作買賣依據</t>
        </is>
      </c>
    </row>
    <row r="8">
      <c r="A8" t="inlineStr">
        <is>
          <t>免責聲明</t>
        </is>
      </c>
      <c r="B8" t="inlineStr">
        <is>
          <t>僅供研究參考，不構成投資建議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2026-10-16T07:58:32Z</dcterms:created>
  <dcterms:modified xmlns:dcterms="http://purl.org/dc/terms/" xmlns:xsi="http://www.w3.org/2001/XMLSchema-instance" xsi:type="dcterms:W3CDTF">2026-10-16T07:58:32Z</dcterms:modified>
</cp:coreProperties>
</file>